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6acbbc56ed77ec7e/Documentos/MICROS/PROYECTO_LAB/hardware/"/>
    </mc:Choice>
  </mc:AlternateContent>
  <xr:revisionPtr revIDLastSave="2" documentId="11_2843789F7210B774D7B467518A22AFC9E0246C20" xr6:coauthVersionLast="47" xr6:coauthVersionMax="47" xr10:uidLastSave="{A598D41E-994F-4EBD-8538-7198E4912CCD}"/>
  <bookViews>
    <workbookView xWindow="-108" yWindow="-108" windowWidth="23256" windowHeight="12456" xr2:uid="{00000000-000D-0000-FFFF-FFFF00000000}"/>
  </bookViews>
  <sheets>
    <sheet name="BOM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6" i="1" s="1"/>
</calcChain>
</file>

<file path=xl/sharedStrings.xml><?xml version="1.0" encoding="utf-8"?>
<sst xmlns="http://schemas.openxmlformats.org/spreadsheetml/2006/main" count="154" uniqueCount="105">
  <si>
    <t>BOM - Robot movil inteligente ESP32-S3 (precios ORIENTATIVOS, confirmar antes de comprar)</t>
  </si>
  <si>
    <t>#</t>
  </si>
  <si>
    <t>Categoria</t>
  </si>
  <si>
    <t>Item</t>
  </si>
  <si>
    <t>Especificacion</t>
  </si>
  <si>
    <t>Cant.</t>
  </si>
  <si>
    <t>Precio unit. (COP)</t>
  </si>
  <si>
    <t>Subtotal (COP)</t>
  </si>
  <si>
    <t>Estado</t>
  </si>
  <si>
    <t>Proveedor</t>
  </si>
  <si>
    <t>Notas</t>
  </si>
  <si>
    <t>Control</t>
  </si>
  <si>
    <t>ESP32-S3 DevKit</t>
  </si>
  <si>
    <t>N16R8 (16 MB flash / 8 MB PSRAM)</t>
  </si>
  <si>
    <t>TENGO</t>
  </si>
  <si>
    <t>Didacticas Electronicas</t>
  </si>
  <si>
    <t>Precio de referencia; ya disponible</t>
  </si>
  <si>
    <t>Motores y traccion</t>
  </si>
  <si>
    <t>Motor TT con encoder</t>
  </si>
  <si>
    <t>6 V, 110 rpm, 1:90, encoder Hall</t>
  </si>
  <si>
    <t>COMPRAR</t>
  </si>
  <si>
    <t>Corriente nominal 0.2 A / bloqueo 1.2 A</t>
  </si>
  <si>
    <t>Rueda 6.5 cm</t>
  </si>
  <si>
    <t>Eje tipo D</t>
  </si>
  <si>
    <t>-</t>
  </si>
  <si>
    <t>Ya las tienes; precio de referencia</t>
  </si>
  <si>
    <t>Rueda loca (ball caster)</t>
  </si>
  <si>
    <t>Soporte frontal</t>
  </si>
  <si>
    <t>Generico</t>
  </si>
  <si>
    <t>Robot de 2 ruedas + caster</t>
  </si>
  <si>
    <t>Driver</t>
  </si>
  <si>
    <t>TB6612FNG (modulo)</t>
  </si>
  <si>
    <t>2 canales, 1.2 A cont / 3.2 A pico</t>
  </si>
  <si>
    <t>Puente H MOSFET, logica 3.3 V</t>
  </si>
  <si>
    <t>Sensores</t>
  </si>
  <si>
    <t>GY-271 QMC5883L</t>
  </si>
  <si>
    <t>Brujula digital I2C</t>
  </si>
  <si>
    <t>HMC5883L esta descatalogado; usar QMC5883L</t>
  </si>
  <si>
    <t>TCS34725</t>
  </si>
  <si>
    <t>Sensor de color RGB+Clear I2C</t>
  </si>
  <si>
    <t>LED integrado; mejor que TCS3200</t>
  </si>
  <si>
    <t>HC-SR04</t>
  </si>
  <si>
    <t>Ultrasonico de distancia</t>
  </si>
  <si>
    <t>ECHO 5 V -&gt; divisor a 3.3 V</t>
  </si>
  <si>
    <t>Alimentacion</t>
  </si>
  <si>
    <t>Celda 18650</t>
  </si>
  <si>
    <t>Li-ion 3.7 V, con proteccion</t>
  </si>
  <si>
    <t>Banco 3S (11.1 V nominal, 12.6 V llena)</t>
  </si>
  <si>
    <t>BMS 3S</t>
  </si>
  <si>
    <t>Placa de proteccion 3S</t>
  </si>
  <si>
    <t>Obligatoria para Li-ion</t>
  </si>
  <si>
    <t>Portapilas 3x18650</t>
  </si>
  <si>
    <t>Soporte serie</t>
  </si>
  <si>
    <t>Cargador / modulo de carga 3S</t>
  </si>
  <si>
    <t>Li-ion 3S</t>
  </si>
  <si>
    <t>Nunca cargar sin supervision</t>
  </si>
  <si>
    <t>Buck DC-DC (LM2596 / MP1584)</t>
  </si>
  <si>
    <t>Riel 6 V (motores) y 5 V (logica)</t>
  </si>
  <si>
    <t>Un modulo por riel; GND comun</t>
  </si>
  <si>
    <t>Estructura</t>
  </si>
  <si>
    <t>Chasis acrilico</t>
  </si>
  <si>
    <t>Plancha 300x200x3 mm a mecanizar</t>
  </si>
  <si>
    <t>FABRICAR</t>
  </si>
  <si>
    <t>Local</t>
  </si>
  <si>
    <t>Diseno propio; 2 niveles</t>
  </si>
  <si>
    <t>Separadores y tornilleria M3</t>
  </si>
  <si>
    <t>Kit</t>
  </si>
  <si>
    <t>Cableado</t>
  </si>
  <si>
    <t>Cables dupont + headers</t>
  </si>
  <si>
    <t>Jumbo M-H / M-M</t>
  </si>
  <si>
    <t>Cable motor (JST)</t>
  </si>
  <si>
    <t>Conector motor/encoder</t>
  </si>
  <si>
    <t>Regletas / borneras</t>
  </si>
  <si>
    <t>2-4 vias</t>
  </si>
  <si>
    <t>Uniones de alimentacion</t>
  </si>
  <si>
    <t>Proteccion</t>
  </si>
  <si>
    <t>Interruptor + fusible + portafusible</t>
  </si>
  <si>
    <t>Corte general del banco</t>
  </si>
  <si>
    <t>Pasivos (pull-up y desacoplo)</t>
  </si>
  <si>
    <t>R 4.7k, C 100nF / 1000uF</t>
  </si>
  <si>
    <t>I2C y ruido de motores</t>
  </si>
  <si>
    <t>Herramientas</t>
  </si>
  <si>
    <t>Multimetro digital</t>
  </si>
  <si>
    <t>Ya disponible (usado en laboratorios previos)</t>
  </si>
  <si>
    <t>TOTAL (todo)</t>
  </si>
  <si>
    <t>TOTAL solo COMPRAR</t>
  </si>
  <si>
    <t>Notas del BOM</t>
  </si>
  <si>
    <t>Precios</t>
  </si>
  <si>
    <t>ORIENTATIVOS en COP (tiendas de Colombia). Confirmar antes de comprar.</t>
  </si>
  <si>
    <t>Estado TENGO</t>
  </si>
  <si>
    <t>Ya disponible; el precio es solo de referencia y NO se suma a la compra.</t>
  </si>
  <si>
    <t>Estado COMPRAR</t>
  </si>
  <si>
    <t>Pendiente de adquirir.</t>
  </si>
  <si>
    <t>Estado FABRICAR</t>
  </si>
  <si>
    <t>Se fabrica (chasis de acrilico).</t>
  </si>
  <si>
    <t>Bateria 3S</t>
  </si>
  <si>
    <t>3S Li-ion = 11.1 V nominal / 12.6 V llena. OBLIGA a buck a 6 V (motores) y 5 V (logica).</t>
  </si>
  <si>
    <t>Riesgo 3S</t>
  </si>
  <si>
    <t>Mas energia que 2S, pero mas critico en seguridad: BMS obligatorio y carga supervisada.</t>
  </si>
  <si>
    <t>Sensor de color</t>
  </si>
  <si>
    <t>TCS34725 (RGB+Clear, I2C). Distinguir 6 colores puede requerir calibracion estricta.</t>
  </si>
  <si>
    <t>Brujula</t>
  </si>
  <si>
    <t>GY-271 con QMC5883L. Requiere calibracion hard/soft-iron y alejarla de motores.</t>
  </si>
  <si>
    <t>Obstaculos</t>
  </si>
  <si>
    <t>HC-SR04: ECHO entrega 5 V -&gt; usar divisor resistivo a 3.3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</si>
</sst>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3" topLeftCell="A4" activePane="bottomLeft" state="frozen"/>
      <selection pane="bottomLeft" activeCell="C22" sqref="C22"/>
    </sheetView>
  </sheetViews>
  <sheetFormatPr baseColWidth="10" defaultColWidth="8.88671875" defaultRowHeight="14.4" x14ac:dyDescent="0.3"/>
  <cols>
    <col min="1" max="1" width="4" customWidth="1"/>
    <col min="2" max="2" width="18" customWidth="1"/>
    <col min="3" max="3" width="30" customWidth="1"/>
    <col min="4" max="4" width="40" customWidth="1"/>
    <col min="5" max="5" width="7" customWidth="1"/>
    <col min="6" max="7" width="16" customWidth="1"/>
    <col min="8" max="8" width="11" customWidth="1"/>
    <col min="9" max="9" width="24" customWidth="1"/>
    <col min="10" max="10" width="40" customWidth="1"/>
  </cols>
  <sheetData>
    <row r="1" spans="1:10" ht="18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">
      <c r="A4" s="3">
        <v>1</v>
      </c>
      <c r="B4" s="4" t="s">
        <v>11</v>
      </c>
      <c r="C4" s="5" t="s">
        <v>12</v>
      </c>
      <c r="D4" s="5" t="s">
        <v>13</v>
      </c>
      <c r="E4" s="3">
        <v>1</v>
      </c>
      <c r="F4" s="6">
        <v>60000</v>
      </c>
      <c r="G4" s="6">
        <f t="shared" ref="G4:G24" si="0">E4*F4</f>
        <v>60000</v>
      </c>
      <c r="H4" s="7" t="s">
        <v>14</v>
      </c>
      <c r="I4" s="4" t="s">
        <v>15</v>
      </c>
      <c r="J4" s="5" t="s">
        <v>16</v>
      </c>
    </row>
    <row r="5" spans="1:10" x14ac:dyDescent="0.3">
      <c r="A5" s="3">
        <v>2</v>
      </c>
      <c r="B5" s="4" t="s">
        <v>17</v>
      </c>
      <c r="C5" s="5" t="s">
        <v>18</v>
      </c>
      <c r="D5" s="5" t="s">
        <v>19</v>
      </c>
      <c r="E5" s="3">
        <v>2</v>
      </c>
      <c r="F5" s="6">
        <v>21781</v>
      </c>
      <c r="G5" s="6">
        <f t="shared" si="0"/>
        <v>43562</v>
      </c>
      <c r="H5" s="8" t="s">
        <v>20</v>
      </c>
      <c r="I5" s="4" t="s">
        <v>15</v>
      </c>
      <c r="J5" s="5" t="s">
        <v>21</v>
      </c>
    </row>
    <row r="6" spans="1:10" x14ac:dyDescent="0.3">
      <c r="A6" s="3">
        <v>3</v>
      </c>
      <c r="B6" s="4" t="s">
        <v>17</v>
      </c>
      <c r="C6" s="5" t="s">
        <v>22</v>
      </c>
      <c r="D6" s="5" t="s">
        <v>23</v>
      </c>
      <c r="E6" s="3">
        <v>2</v>
      </c>
      <c r="F6" s="6">
        <v>5000</v>
      </c>
      <c r="G6" s="6">
        <f t="shared" si="0"/>
        <v>10000</v>
      </c>
      <c r="H6" s="7" t="s">
        <v>14</v>
      </c>
      <c r="I6" s="4" t="s">
        <v>24</v>
      </c>
      <c r="J6" s="5" t="s">
        <v>25</v>
      </c>
    </row>
    <row r="7" spans="1:10" x14ac:dyDescent="0.3">
      <c r="A7" s="3">
        <v>4</v>
      </c>
      <c r="B7" s="4" t="s">
        <v>17</v>
      </c>
      <c r="C7" s="5" t="s">
        <v>26</v>
      </c>
      <c r="D7" s="5" t="s">
        <v>27</v>
      </c>
      <c r="E7" s="3">
        <v>1</v>
      </c>
      <c r="F7" s="6">
        <v>6000</v>
      </c>
      <c r="G7" s="6">
        <f t="shared" si="0"/>
        <v>6000</v>
      </c>
      <c r="H7" s="8" t="s">
        <v>20</v>
      </c>
      <c r="I7" s="4" t="s">
        <v>28</v>
      </c>
      <c r="J7" s="5" t="s">
        <v>29</v>
      </c>
    </row>
    <row r="8" spans="1:10" x14ac:dyDescent="0.3">
      <c r="A8" s="3">
        <v>5</v>
      </c>
      <c r="B8" s="4" t="s">
        <v>30</v>
      </c>
      <c r="C8" s="5" t="s">
        <v>31</v>
      </c>
      <c r="D8" s="5" t="s">
        <v>32</v>
      </c>
      <c r="E8" s="3">
        <v>1</v>
      </c>
      <c r="F8" s="6">
        <v>10000</v>
      </c>
      <c r="G8" s="6">
        <f t="shared" si="0"/>
        <v>10000</v>
      </c>
      <c r="H8" s="8" t="s">
        <v>20</v>
      </c>
      <c r="I8" s="4" t="s">
        <v>28</v>
      </c>
      <c r="J8" s="5" t="s">
        <v>33</v>
      </c>
    </row>
    <row r="9" spans="1:10" ht="28.8" x14ac:dyDescent="0.3">
      <c r="A9" s="3">
        <v>6</v>
      </c>
      <c r="B9" s="4" t="s">
        <v>34</v>
      </c>
      <c r="C9" s="5" t="s">
        <v>35</v>
      </c>
      <c r="D9" s="5" t="s">
        <v>36</v>
      </c>
      <c r="E9" s="3">
        <v>1</v>
      </c>
      <c r="F9" s="6">
        <v>12000</v>
      </c>
      <c r="G9" s="6">
        <f t="shared" si="0"/>
        <v>12000</v>
      </c>
      <c r="H9" s="8" t="s">
        <v>20</v>
      </c>
      <c r="I9" s="4" t="s">
        <v>28</v>
      </c>
      <c r="J9" s="5" t="s">
        <v>37</v>
      </c>
    </row>
    <row r="10" spans="1:10" x14ac:dyDescent="0.3">
      <c r="A10" s="3">
        <v>7</v>
      </c>
      <c r="B10" s="4" t="s">
        <v>34</v>
      </c>
      <c r="C10" s="5" t="s">
        <v>38</v>
      </c>
      <c r="D10" s="5" t="s">
        <v>39</v>
      </c>
      <c r="E10" s="3">
        <v>1</v>
      </c>
      <c r="F10" s="6">
        <v>16000</v>
      </c>
      <c r="G10" s="6">
        <f t="shared" si="0"/>
        <v>16000</v>
      </c>
      <c r="H10" s="8" t="s">
        <v>20</v>
      </c>
      <c r="I10" s="4" t="s">
        <v>28</v>
      </c>
      <c r="J10" s="5" t="s">
        <v>40</v>
      </c>
    </row>
    <row r="11" spans="1:10" x14ac:dyDescent="0.3">
      <c r="A11" s="3">
        <v>8</v>
      </c>
      <c r="B11" s="4" t="s">
        <v>34</v>
      </c>
      <c r="C11" s="5" t="s">
        <v>41</v>
      </c>
      <c r="D11" s="5" t="s">
        <v>42</v>
      </c>
      <c r="E11" s="3">
        <v>1</v>
      </c>
      <c r="F11" s="6">
        <v>7000</v>
      </c>
      <c r="G11" s="6">
        <f t="shared" si="0"/>
        <v>7000</v>
      </c>
      <c r="H11" s="8" t="s">
        <v>20</v>
      </c>
      <c r="I11" s="4" t="s">
        <v>28</v>
      </c>
      <c r="J11" s="5" t="s">
        <v>43</v>
      </c>
    </row>
    <row r="12" spans="1:10" x14ac:dyDescent="0.3">
      <c r="A12" s="3">
        <v>9</v>
      </c>
      <c r="B12" s="4" t="s">
        <v>44</v>
      </c>
      <c r="C12" s="5" t="s">
        <v>45</v>
      </c>
      <c r="D12" s="5" t="s">
        <v>46</v>
      </c>
      <c r="E12" s="3">
        <v>3</v>
      </c>
      <c r="F12" s="6">
        <v>12000</v>
      </c>
      <c r="G12" s="6">
        <f t="shared" si="0"/>
        <v>36000</v>
      </c>
      <c r="H12" s="8" t="s">
        <v>20</v>
      </c>
      <c r="I12" s="4" t="s">
        <v>28</v>
      </c>
      <c r="J12" s="5" t="s">
        <v>47</v>
      </c>
    </row>
    <row r="13" spans="1:10" x14ac:dyDescent="0.3">
      <c r="A13" s="3">
        <v>10</v>
      </c>
      <c r="B13" s="4" t="s">
        <v>44</v>
      </c>
      <c r="C13" s="5" t="s">
        <v>48</v>
      </c>
      <c r="D13" s="5" t="s">
        <v>49</v>
      </c>
      <c r="E13" s="3">
        <v>1</v>
      </c>
      <c r="F13" s="6">
        <v>12000</v>
      </c>
      <c r="G13" s="6">
        <f t="shared" si="0"/>
        <v>12000</v>
      </c>
      <c r="H13" s="8" t="s">
        <v>20</v>
      </c>
      <c r="I13" s="4" t="s">
        <v>28</v>
      </c>
      <c r="J13" s="5" t="s">
        <v>50</v>
      </c>
    </row>
    <row r="14" spans="1:10" x14ac:dyDescent="0.3">
      <c r="A14" s="3">
        <v>11</v>
      </c>
      <c r="B14" s="4" t="s">
        <v>44</v>
      </c>
      <c r="C14" s="5" t="s">
        <v>51</v>
      </c>
      <c r="D14" s="5" t="s">
        <v>52</v>
      </c>
      <c r="E14" s="3">
        <v>1</v>
      </c>
      <c r="F14" s="6">
        <v>4000</v>
      </c>
      <c r="G14" s="6">
        <f t="shared" si="0"/>
        <v>4000</v>
      </c>
      <c r="H14" s="8" t="s">
        <v>20</v>
      </c>
      <c r="I14" s="4" t="s">
        <v>28</v>
      </c>
      <c r="J14" s="5"/>
    </row>
    <row r="15" spans="1:10" x14ac:dyDescent="0.3">
      <c r="A15" s="3">
        <v>12</v>
      </c>
      <c r="B15" s="4" t="s">
        <v>44</v>
      </c>
      <c r="C15" s="5" t="s">
        <v>53</v>
      </c>
      <c r="D15" s="5" t="s">
        <v>54</v>
      </c>
      <c r="E15" s="3">
        <v>1</v>
      </c>
      <c r="F15" s="6">
        <v>15000</v>
      </c>
      <c r="G15" s="6">
        <f t="shared" si="0"/>
        <v>15000</v>
      </c>
      <c r="H15" s="8" t="s">
        <v>20</v>
      </c>
      <c r="I15" s="4" t="s">
        <v>28</v>
      </c>
      <c r="J15" s="5" t="s">
        <v>55</v>
      </c>
    </row>
    <row r="16" spans="1:10" x14ac:dyDescent="0.3">
      <c r="A16" s="3">
        <v>13</v>
      </c>
      <c r="B16" s="4" t="s">
        <v>44</v>
      </c>
      <c r="C16" s="5" t="s">
        <v>56</v>
      </c>
      <c r="D16" s="5" t="s">
        <v>57</v>
      </c>
      <c r="E16" s="3">
        <v>2</v>
      </c>
      <c r="F16" s="6">
        <v>7000</v>
      </c>
      <c r="G16" s="6">
        <f t="shared" si="0"/>
        <v>14000</v>
      </c>
      <c r="H16" s="8" t="s">
        <v>20</v>
      </c>
      <c r="I16" s="4" t="s">
        <v>28</v>
      </c>
      <c r="J16" s="5" t="s">
        <v>58</v>
      </c>
    </row>
    <row r="17" spans="1:10" x14ac:dyDescent="0.3">
      <c r="A17" s="3">
        <v>14</v>
      </c>
      <c r="B17" s="4" t="s">
        <v>59</v>
      </c>
      <c r="C17" s="5" t="s">
        <v>60</v>
      </c>
      <c r="D17" s="5" t="s">
        <v>61</v>
      </c>
      <c r="E17" s="3">
        <v>1</v>
      </c>
      <c r="F17" s="6">
        <v>15000</v>
      </c>
      <c r="G17" s="6">
        <f t="shared" si="0"/>
        <v>15000</v>
      </c>
      <c r="H17" s="9" t="s">
        <v>62</v>
      </c>
      <c r="I17" s="4" t="s">
        <v>63</v>
      </c>
      <c r="J17" s="5" t="s">
        <v>64</v>
      </c>
    </row>
    <row r="18" spans="1:10" x14ac:dyDescent="0.3">
      <c r="A18" s="3">
        <v>15</v>
      </c>
      <c r="B18" s="4" t="s">
        <v>59</v>
      </c>
      <c r="C18" s="5" t="s">
        <v>65</v>
      </c>
      <c r="D18" s="5" t="s">
        <v>66</v>
      </c>
      <c r="E18" s="3">
        <v>1</v>
      </c>
      <c r="F18" s="6">
        <v>10000</v>
      </c>
      <c r="G18" s="6">
        <f t="shared" si="0"/>
        <v>10000</v>
      </c>
      <c r="H18" s="8" t="s">
        <v>20</v>
      </c>
      <c r="I18" s="4" t="s">
        <v>28</v>
      </c>
      <c r="J18" s="5"/>
    </row>
    <row r="19" spans="1:10" x14ac:dyDescent="0.3">
      <c r="A19" s="3">
        <v>16</v>
      </c>
      <c r="B19" s="4" t="s">
        <v>67</v>
      </c>
      <c r="C19" s="5" t="s">
        <v>68</v>
      </c>
      <c r="D19" s="5" t="s">
        <v>69</v>
      </c>
      <c r="E19" s="3">
        <v>1</v>
      </c>
      <c r="F19" s="6">
        <v>12000</v>
      </c>
      <c r="G19" s="6">
        <f t="shared" si="0"/>
        <v>12000</v>
      </c>
      <c r="H19" s="8" t="s">
        <v>20</v>
      </c>
      <c r="I19" s="4" t="s">
        <v>28</v>
      </c>
      <c r="J19" s="5"/>
    </row>
    <row r="20" spans="1:10" x14ac:dyDescent="0.3">
      <c r="A20" s="3">
        <v>17</v>
      </c>
      <c r="B20" s="4" t="s">
        <v>67</v>
      </c>
      <c r="C20" s="5" t="s">
        <v>70</v>
      </c>
      <c r="D20" s="5" t="s">
        <v>71</v>
      </c>
      <c r="E20" s="3">
        <v>2</v>
      </c>
      <c r="F20" s="6">
        <v>2000</v>
      </c>
      <c r="G20" s="6">
        <f t="shared" si="0"/>
        <v>4000</v>
      </c>
      <c r="H20" s="8" t="s">
        <v>20</v>
      </c>
      <c r="I20" s="4" t="s">
        <v>15</v>
      </c>
      <c r="J20" s="5"/>
    </row>
    <row r="21" spans="1:10" x14ac:dyDescent="0.3">
      <c r="A21" s="3">
        <v>18</v>
      </c>
      <c r="B21" s="4" t="s">
        <v>67</v>
      </c>
      <c r="C21" s="5" t="s">
        <v>72</v>
      </c>
      <c r="D21" s="5" t="s">
        <v>73</v>
      </c>
      <c r="E21" s="3">
        <v>1</v>
      </c>
      <c r="F21" s="6">
        <v>5000</v>
      </c>
      <c r="G21" s="6">
        <f t="shared" si="0"/>
        <v>5000</v>
      </c>
      <c r="H21" s="8" t="s">
        <v>20</v>
      </c>
      <c r="I21" s="4" t="s">
        <v>28</v>
      </c>
      <c r="J21" s="5" t="s">
        <v>74</v>
      </c>
    </row>
    <row r="22" spans="1:10" x14ac:dyDescent="0.3">
      <c r="A22" s="3">
        <v>19</v>
      </c>
      <c r="B22" s="4" t="s">
        <v>75</v>
      </c>
      <c r="C22" s="5" t="s">
        <v>76</v>
      </c>
      <c r="D22" s="5" t="s">
        <v>24</v>
      </c>
      <c r="E22" s="3">
        <v>1</v>
      </c>
      <c r="F22" s="6">
        <v>8000</v>
      </c>
      <c r="G22" s="6">
        <f t="shared" si="0"/>
        <v>8000</v>
      </c>
      <c r="H22" s="8" t="s">
        <v>20</v>
      </c>
      <c r="I22" s="4" t="s">
        <v>28</v>
      </c>
      <c r="J22" s="5" t="s">
        <v>77</v>
      </c>
    </row>
    <row r="23" spans="1:10" x14ac:dyDescent="0.3">
      <c r="A23" s="3">
        <v>20</v>
      </c>
      <c r="B23" s="4" t="s">
        <v>75</v>
      </c>
      <c r="C23" s="5" t="s">
        <v>78</v>
      </c>
      <c r="D23" s="5" t="s">
        <v>79</v>
      </c>
      <c r="E23" s="3">
        <v>1</v>
      </c>
      <c r="F23" s="6">
        <v>5000</v>
      </c>
      <c r="G23" s="6">
        <f t="shared" si="0"/>
        <v>5000</v>
      </c>
      <c r="H23" s="8" t="s">
        <v>20</v>
      </c>
      <c r="I23" s="4" t="s">
        <v>28</v>
      </c>
      <c r="J23" s="5" t="s">
        <v>80</v>
      </c>
    </row>
    <row r="24" spans="1:10" x14ac:dyDescent="0.3">
      <c r="A24" s="3">
        <v>21</v>
      </c>
      <c r="B24" s="4" t="s">
        <v>81</v>
      </c>
      <c r="C24" s="5" t="s">
        <v>82</v>
      </c>
      <c r="D24" s="5" t="s">
        <v>24</v>
      </c>
      <c r="E24" s="3">
        <v>1</v>
      </c>
      <c r="F24" s="6">
        <v>0</v>
      </c>
      <c r="G24" s="6">
        <f t="shared" si="0"/>
        <v>0</v>
      </c>
      <c r="H24" s="7" t="s">
        <v>14</v>
      </c>
      <c r="I24" s="4" t="s">
        <v>24</v>
      </c>
      <c r="J24" s="5" t="s">
        <v>83</v>
      </c>
    </row>
    <row r="26" spans="1:10" x14ac:dyDescent="0.3">
      <c r="F26" s="10" t="s">
        <v>84</v>
      </c>
      <c r="G26" s="11">
        <f>SUM(G4:G24)</f>
        <v>304562</v>
      </c>
    </row>
    <row r="27" spans="1:10" x14ac:dyDescent="0.3">
      <c r="F27" s="10" t="s">
        <v>85</v>
      </c>
      <c r="G27" s="11">
        <f>SUMIF(H4:H24,"COMPRAR",G4:G24)</f>
        <v>219562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cols>
    <col min="1" max="1" width="22" customWidth="1"/>
    <col min="2" max="2" width="80" customWidth="1"/>
  </cols>
  <sheetData>
    <row r="1" spans="1:2" ht="18" x14ac:dyDescent="0.35">
      <c r="A1" s="1" t="s">
        <v>86</v>
      </c>
    </row>
    <row r="3" spans="1:2" x14ac:dyDescent="0.3">
      <c r="A3" s="10" t="s">
        <v>87</v>
      </c>
      <c r="B3" s="12" t="s">
        <v>88</v>
      </c>
    </row>
    <row r="4" spans="1:2" x14ac:dyDescent="0.3">
      <c r="A4" s="10" t="s">
        <v>89</v>
      </c>
      <c r="B4" s="12" t="s">
        <v>90</v>
      </c>
    </row>
    <row r="5" spans="1:2" x14ac:dyDescent="0.3">
      <c r="A5" s="10" t="s">
        <v>91</v>
      </c>
      <c r="B5" s="12" t="s">
        <v>92</v>
      </c>
    </row>
    <row r="6" spans="1:2" x14ac:dyDescent="0.3">
      <c r="A6" s="10" t="s">
        <v>93</v>
      </c>
      <c r="B6" s="12" t="s">
        <v>94</v>
      </c>
    </row>
    <row r="7" spans="1:2" x14ac:dyDescent="0.3">
      <c r="A7" s="10"/>
      <c r="B7" s="12"/>
    </row>
    <row r="8" spans="1:2" x14ac:dyDescent="0.3">
      <c r="A8" s="10" t="s">
        <v>95</v>
      </c>
      <c r="B8" s="12" t="s">
        <v>96</v>
      </c>
    </row>
    <row r="9" spans="1:2" x14ac:dyDescent="0.3">
      <c r="A9" s="10" t="s">
        <v>97</v>
      </c>
      <c r="B9" s="12" t="s">
        <v>98</v>
      </c>
    </row>
    <row r="10" spans="1:2" x14ac:dyDescent="0.3">
      <c r="A10" s="10"/>
      <c r="B10" s="12"/>
    </row>
    <row r="11" spans="1:2" x14ac:dyDescent="0.3">
      <c r="A11" s="10" t="s">
        <v>99</v>
      </c>
      <c r="B11" s="12" t="s">
        <v>100</v>
      </c>
    </row>
    <row r="12" spans="1:2" x14ac:dyDescent="0.3">
      <c r="A12" s="10" t="s">
        <v>101</v>
      </c>
      <c r="B12" s="12" t="s">
        <v>102</v>
      </c>
    </row>
    <row r="13" spans="1:2" x14ac:dyDescent="0.3">
      <c r="A13" s="10" t="s">
        <v>103</v>
      </c>
      <c r="B13" s="1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BOM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Estivem Parra Oñate</cp:lastModifiedBy>
  <dcterms:created xsi:type="dcterms:W3CDTF">2026-10-12T01:57:17Z</dcterms:created>
  <dcterms:modified xsi:type="dcterms:W3CDTF">2026-10-13T03:54:06Z</dcterms:modified>
</cp:coreProperties>
</file>